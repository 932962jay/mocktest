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7be8c3eaed5e36/Desktop/data analytics/mock/"/>
    </mc:Choice>
  </mc:AlternateContent>
  <xr:revisionPtr revIDLastSave="0" documentId="8_{E5676C7A-775B-4E73-9487-665D6AAAA581}" xr6:coauthVersionLast="47" xr6:coauthVersionMax="47" xr10:uidLastSave="{00000000-0000-0000-0000-000000000000}"/>
  <bookViews>
    <workbookView xWindow="-120" yWindow="-120" windowWidth="20730" windowHeight="11160" xr2:uid="{AFFD8D80-D95B-4989-BAC2-51F2C314F91E}"/>
  </bookViews>
  <sheets>
    <sheet name="sales_data" sheetId="1" r:id="rId1"/>
    <sheet name="product_data" sheetId="2" r:id="rId2"/>
    <sheet name="monthly target" sheetId="3" r:id="rId3"/>
  </sheets>
  <definedNames>
    <definedName name="_xlnm._FilterDatabase" localSheetId="0" hidden="1">sales_data!$A$1:$I$13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O3" i="1"/>
  <c r="P3" i="1"/>
  <c r="Q3" i="1"/>
  <c r="N3" i="1"/>
  <c r="H5" i="1"/>
  <c r="I5" i="1"/>
  <c r="E12" i="1"/>
  <c r="H8" i="1"/>
  <c r="I8" i="1" s="1"/>
  <c r="H2" i="1"/>
  <c r="H10" i="1"/>
  <c r="I10" i="1" s="1"/>
  <c r="H6" i="1"/>
  <c r="I6" i="1" s="1"/>
  <c r="H3" i="1"/>
  <c r="I3" i="1" s="1"/>
  <c r="H9" i="1"/>
  <c r="I9" i="1" s="1"/>
  <c r="H11" i="1"/>
  <c r="I11" i="1" s="1"/>
  <c r="H7" i="1"/>
  <c r="I7" i="1" s="1"/>
  <c r="H4" i="1"/>
  <c r="I4" i="1" s="1"/>
  <c r="G8" i="1"/>
  <c r="G2" i="1"/>
  <c r="G10" i="1"/>
  <c r="G6" i="1"/>
  <c r="G3" i="1"/>
  <c r="G9" i="1"/>
  <c r="G11" i="1"/>
  <c r="G7" i="1"/>
  <c r="G4" i="1"/>
  <c r="G5" i="1"/>
  <c r="G6" i="2"/>
  <c r="F6" i="2"/>
  <c r="G3" i="2"/>
  <c r="G4" i="2"/>
  <c r="G5" i="2"/>
  <c r="F4" i="2"/>
  <c r="F5" i="2"/>
  <c r="F3" i="2"/>
  <c r="F2" i="2"/>
  <c r="G2" i="2"/>
  <c r="Q2" i="1" l="1"/>
  <c r="O2" i="1"/>
  <c r="N2" i="1"/>
  <c r="I2" i="1"/>
  <c r="P2" i="1" s="1"/>
  <c r="H12" i="1"/>
  <c r="B13" i="1"/>
  <c r="P4" i="1" l="1"/>
  <c r="D3" i="3"/>
  <c r="D4" i="3" s="1"/>
  <c r="B3" i="3"/>
  <c r="B4" i="3" s="1"/>
  <c r="N4" i="1"/>
  <c r="O4" i="1"/>
  <c r="C3" i="3"/>
  <c r="C4" i="3" s="1"/>
  <c r="Q4" i="1"/>
  <c r="E3" i="3"/>
  <c r="E4" i="3" s="1"/>
</calcChain>
</file>

<file path=xl/sharedStrings.xml><?xml version="1.0" encoding="utf-8"?>
<sst xmlns="http://schemas.openxmlformats.org/spreadsheetml/2006/main" count="91" uniqueCount="62">
  <si>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</si>
  <si>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</si>
  <si>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</si>
  <si>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</si>
  <si>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</si>
  <si>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</si>
  <si>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</si>
  <si>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</si>
  <si>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</si>
  <si>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</si>
  <si>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</si>
  <si>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</si>
  <si>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</si>
  <si>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</si>
  <si>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</si>
  <si>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</si>
  <si>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</si>
  <si>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</si>
  <si>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</si>
  <si>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</si>
  <si>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</si>
  <si>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</si>
  <si>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</si>
  <si>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</si>
  <si>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</si>
  <si>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</si>
  <si>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</si>
  <si>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</si>
  <si>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</si>
  <si>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</si>
  <si>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</si>
  <si>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</si>
  <si>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</si>
  <si>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</si>
  <si>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</si>
  <si>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</si>
  <si>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</si>
  <si>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</si>
  <si>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</si>
  <si>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</si>
  <si>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</si>
  <si>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</si>
  <si>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</si>
  <si>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Office Supplies</t>
  </si>
  <si>
    <t>Monitor</t>
  </si>
  <si>
    <t>Target Sales</t>
  </si>
  <si>
    <t>vlookup value</t>
  </si>
  <si>
    <t>price per unit</t>
  </si>
  <si>
    <t>product name</t>
  </si>
  <si>
    <t>total</t>
  </si>
  <si>
    <t>total sales value</t>
  </si>
  <si>
    <t xml:space="preserve">the total revenue is = </t>
  </si>
  <si>
    <t>actual sales</t>
  </si>
  <si>
    <t>east</t>
  </si>
  <si>
    <t>north</t>
  </si>
  <si>
    <t>south</t>
  </si>
  <si>
    <t>west</t>
  </si>
  <si>
    <t>compare</t>
  </si>
  <si>
    <t>region</t>
  </si>
  <si>
    <t>actuall sales</t>
  </si>
  <si>
    <t>target sales</t>
  </si>
  <si>
    <t>compare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</si>
</sst>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 ;[Red]\-0.00\ 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0" fillId="0" borderId="3" xfId="0" applyBorder="1"/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Fill="1" applyBorder="1" applyAlignment="1">
      <alignment wrapText="1"/>
    </xf>
    <xf numFmtId="0" fontId="0" fillId="2" borderId="0" xfId="0" applyFill="1"/>
    <xf numFmtId="0" fontId="0" fillId="3" borderId="3" xfId="0" applyFill="1" applyBorder="1"/>
    <xf numFmtId="0" fontId="0" fillId="4" borderId="3" xfId="0" applyFont="1" applyFill="1" applyBorder="1"/>
    <xf numFmtId="0" fontId="0" fillId="5" borderId="3" xfId="0" applyFill="1" applyBorder="1"/>
    <xf numFmtId="0" fontId="0" fillId="6" borderId="3" xfId="0" applyFill="1" applyBorder="1"/>
    <xf numFmtId="168" fontId="0" fillId="6" borderId="3" xfId="0" applyNumberFormat="1" applyFill="1" applyBorder="1"/>
    <xf numFmtId="0" fontId="0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7723-BDAF-4687-AD8F-ACA52ACEA850}">
  <dimension ref="A1:T13"/>
  <sheetViews>
    <sheetView tabSelected="1" topLeftCell="C1" zoomScaleNormal="100" workbookViewId="0">
      <selection activeCell="S2" sqref="S2"/>
    </sheetView>
  </sheetViews>
  <sheetFormatPr defaultRowHeight="15" x14ac:dyDescent="0.25"/>
  <cols>
    <col min="1" max="1" width="15.85546875" customWidth="1"/>
    <col min="2" max="2" width="8.85546875" bestFit="1" customWidth="1"/>
    <col min="3" max="3" width="7.42578125" bestFit="1" customWidth="1"/>
    <col min="4" max="4" width="8" bestFit="1" customWidth="1"/>
    <col min="5" max="5" width="5.42578125" bestFit="1" customWidth="1"/>
    <col min="6" max="6" width="8" bestFit="1" customWidth="1"/>
    <col min="7" max="7" width="12.140625" bestFit="1" customWidth="1"/>
    <col min="11" max="11" width="20.42578125" bestFit="1" customWidth="1"/>
    <col min="13" max="13" width="13.7109375" bestFit="1" customWidth="1"/>
    <col min="20" max="20" width="15.42578125" bestFit="1" customWidth="1"/>
  </cols>
  <sheetData>
    <row r="1" spans="1:20" ht="3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5" t="s">
        <v>48</v>
      </c>
      <c r="H1" s="5" t="s">
        <v>47</v>
      </c>
      <c r="I1" s="5" t="s">
        <v>50</v>
      </c>
      <c r="M1" s="13" t="s">
        <v>2</v>
      </c>
      <c r="N1" s="13" t="s">
        <v>54</v>
      </c>
      <c r="O1" s="13" t="s">
        <v>55</v>
      </c>
      <c r="P1" s="13" t="s">
        <v>53</v>
      </c>
      <c r="Q1" s="13" t="s">
        <v>56</v>
      </c>
      <c r="S1" s="17" t="s">
        <v>58</v>
      </c>
      <c r="T1" s="17" t="s">
        <v>50</v>
      </c>
    </row>
    <row r="2" spans="1:20" ht="26.25" x14ac:dyDescent="0.25">
      <c r="A2" s="8" t="s">
        <v>14</v>
      </c>
      <c r="B2" s="8" t="s">
        <v>15</v>
      </c>
      <c r="C2" s="8" t="s">
        <v>16</v>
      </c>
      <c r="D2" s="8" t="s">
        <v>17</v>
      </c>
      <c r="E2" s="9">
        <v>10</v>
      </c>
      <c r="F2" s="9">
        <v>35000</v>
      </c>
      <c r="G2" s="6" t="str">
        <f>VLOOKUP(sales_data!D4,product_data!$A$1:$D$6,2,FALSE)</f>
        <v>Monitor</v>
      </c>
      <c r="H2" s="6">
        <f>VLOOKUP(D2,product_data!$A$1:$D$6,4,FALSE)</f>
        <v>3500</v>
      </c>
      <c r="I2" s="6">
        <f>E2*H2</f>
        <v>35000</v>
      </c>
      <c r="M2" s="14" t="s">
        <v>59</v>
      </c>
      <c r="N2" s="14">
        <f>SUM(I5:I7)</f>
        <v>163000</v>
      </c>
      <c r="O2" s="14">
        <f>SUM(I8:I9)</f>
        <v>137000</v>
      </c>
      <c r="P2" s="14">
        <f>SUM(I2:I4)</f>
        <v>121000</v>
      </c>
      <c r="Q2" s="14">
        <f>SUM(I10:I11)</f>
        <v>215000</v>
      </c>
      <c r="S2" t="s">
        <v>8</v>
      </c>
      <c r="T2">
        <f>SUMIF(C2:C11,S2,I2:I11)</f>
        <v>163000</v>
      </c>
    </row>
    <row r="3" spans="1:20" ht="26.25" x14ac:dyDescent="0.25">
      <c r="A3" s="8" t="s">
        <v>25</v>
      </c>
      <c r="B3" s="8" t="s">
        <v>26</v>
      </c>
      <c r="C3" s="8" t="s">
        <v>16</v>
      </c>
      <c r="D3" s="8" t="s">
        <v>13</v>
      </c>
      <c r="E3" s="9">
        <v>18</v>
      </c>
      <c r="F3" s="9">
        <v>54000</v>
      </c>
      <c r="G3" s="6" t="str">
        <f>VLOOKUP(sales_data!D7,product_data!$A$1:$D$6,2,FALSE)</f>
        <v>Headphones</v>
      </c>
      <c r="H3" s="6">
        <f>VLOOKUP(D3,product_data!$A$1:$D$6,4,FALSE)</f>
        <v>3000</v>
      </c>
      <c r="I3" s="6">
        <f>E3*H3</f>
        <v>54000</v>
      </c>
      <c r="M3" s="14" t="s">
        <v>60</v>
      </c>
      <c r="N3" s="14">
        <f>HLOOKUP(N1,'monthly target'!A1:E2,2,FALSE)</f>
        <v>150000</v>
      </c>
      <c r="O3" s="14">
        <f>HLOOKUP(O1,'monthly target'!B1:F2,2,FALSE)</f>
        <v>140000</v>
      </c>
      <c r="P3" s="14">
        <f>HLOOKUP(P1,'monthly target'!C1:G2,2,FALSE)</f>
        <v>120000</v>
      </c>
      <c r="Q3" s="14">
        <f>HLOOKUP(Q1,'monthly target'!D1:H2,2,FALSE)</f>
        <v>160000</v>
      </c>
    </row>
    <row r="4" spans="1:20" ht="26.25" x14ac:dyDescent="0.25">
      <c r="A4" s="8" t="s">
        <v>33</v>
      </c>
      <c r="B4" s="8" t="s">
        <v>34</v>
      </c>
      <c r="C4" s="8" t="s">
        <v>16</v>
      </c>
      <c r="D4" s="8" t="s">
        <v>24</v>
      </c>
      <c r="E4" s="9">
        <v>8</v>
      </c>
      <c r="F4" s="9">
        <v>32000</v>
      </c>
      <c r="G4" s="6" t="str">
        <f>VLOOKUP(sales_data!D11,product_data!$A$1:$D$6,2,FALSE)</f>
        <v>Laptop</v>
      </c>
      <c r="H4" s="6">
        <f>VLOOKUP(D4,product_data!$A$1:$D$6,4,FALSE)</f>
        <v>4000</v>
      </c>
      <c r="I4" s="6">
        <f>E4*H4</f>
        <v>32000</v>
      </c>
      <c r="M4" s="15" t="s">
        <v>61</v>
      </c>
      <c r="N4" s="16">
        <f>N2-N3</f>
        <v>13000</v>
      </c>
      <c r="O4" s="16">
        <f t="shared" ref="O4:Q4" si="0">O2-O3</f>
        <v>-3000</v>
      </c>
      <c r="P4" s="16">
        <f t="shared" si="0"/>
        <v>1000</v>
      </c>
      <c r="Q4" s="16">
        <f t="shared" si="0"/>
        <v>55000</v>
      </c>
    </row>
    <row r="5" spans="1:20" ht="26.25" x14ac:dyDescent="0.25">
      <c r="A5" s="8" t="s">
        <v>6</v>
      </c>
      <c r="B5" s="8" t="s">
        <v>7</v>
      </c>
      <c r="C5" s="8" t="s">
        <v>8</v>
      </c>
      <c r="D5" s="8" t="s">
        <v>9</v>
      </c>
      <c r="E5" s="9">
        <v>15</v>
      </c>
      <c r="F5" s="9">
        <v>45000</v>
      </c>
      <c r="G5" s="6" t="str">
        <f>VLOOKUP(sales_data!D2,product_data!$A$1:$D$6,2,FALSE)</f>
        <v>Headphones</v>
      </c>
      <c r="H5" s="6">
        <f>VLOOKUP(D5,product_data!$A$1:$D$6,4,FALSE)</f>
        <v>3000</v>
      </c>
      <c r="I5" s="6">
        <f>E5*H5</f>
        <v>45000</v>
      </c>
    </row>
    <row r="6" spans="1:20" ht="26.25" x14ac:dyDescent="0.25">
      <c r="A6" s="8" t="s">
        <v>22</v>
      </c>
      <c r="B6" s="8" t="s">
        <v>23</v>
      </c>
      <c r="C6" s="8" t="s">
        <v>8</v>
      </c>
      <c r="D6" s="8" t="s">
        <v>24</v>
      </c>
      <c r="E6" s="9">
        <v>12</v>
      </c>
      <c r="F6" s="9">
        <v>48000</v>
      </c>
      <c r="G6" s="6" t="str">
        <f>VLOOKUP(sales_data!D6,product_data!$A$1:$D$6,2,FALSE)</f>
        <v>Monitor</v>
      </c>
      <c r="H6" s="6">
        <f>VLOOKUP(D6,product_data!$A$1:$D$6,4,FALSE)</f>
        <v>4000</v>
      </c>
      <c r="I6" s="6">
        <f>E6*H6</f>
        <v>48000</v>
      </c>
    </row>
    <row r="7" spans="1:20" x14ac:dyDescent="0.25">
      <c r="A7" s="8" t="s">
        <v>31</v>
      </c>
      <c r="B7" s="8" t="s">
        <v>32</v>
      </c>
      <c r="C7" s="8" t="s">
        <v>8</v>
      </c>
      <c r="D7" s="8" t="s">
        <v>21</v>
      </c>
      <c r="E7" s="9">
        <v>14</v>
      </c>
      <c r="F7" s="9">
        <v>70000</v>
      </c>
      <c r="G7" s="6" t="str">
        <f>VLOOKUP(sales_data!D10,product_data!$A$1:$D$6,2,FALSE)</f>
        <v>Headphones</v>
      </c>
      <c r="H7" s="6">
        <f>VLOOKUP(D7,product_data!$A$1:$D$6,4,FALSE)</f>
        <v>5000</v>
      </c>
      <c r="I7" s="6">
        <f>E7*H7</f>
        <v>70000</v>
      </c>
    </row>
    <row r="8" spans="1:20" ht="26.25" x14ac:dyDescent="0.25">
      <c r="A8" s="8" t="s">
        <v>10</v>
      </c>
      <c r="B8" s="8" t="s">
        <v>11</v>
      </c>
      <c r="C8" s="8" t="s">
        <v>12</v>
      </c>
      <c r="D8" s="8" t="s">
        <v>13</v>
      </c>
      <c r="E8" s="9">
        <v>20</v>
      </c>
      <c r="F8" s="9">
        <v>60000</v>
      </c>
      <c r="G8" s="6" t="str">
        <f>VLOOKUP(sales_data!D3,product_data!$A$1:$D$6,2,FALSE)</f>
        <v>Smartphone</v>
      </c>
      <c r="H8" s="6">
        <f>VLOOKUP(D8,product_data!$A$1:$D$6,4,FALSE)</f>
        <v>3000</v>
      </c>
      <c r="I8" s="6">
        <f>E8*H8</f>
        <v>60000</v>
      </c>
    </row>
    <row r="9" spans="1:20" ht="26.25" x14ac:dyDescent="0.25">
      <c r="A9" s="8" t="s">
        <v>27</v>
      </c>
      <c r="B9" s="8" t="s">
        <v>28</v>
      </c>
      <c r="C9" s="8" t="s">
        <v>12</v>
      </c>
      <c r="D9" s="8" t="s">
        <v>17</v>
      </c>
      <c r="E9" s="9">
        <v>22</v>
      </c>
      <c r="F9" s="9">
        <v>77000</v>
      </c>
      <c r="G9" s="6" t="str">
        <f>VLOOKUP(sales_data!D8,product_data!$A$1:$D$6,2,FALSE)</f>
        <v>Smartphone</v>
      </c>
      <c r="H9" s="6">
        <f>VLOOKUP(D9,product_data!$A$1:$D$6,4,FALSE)</f>
        <v>3500</v>
      </c>
      <c r="I9" s="6">
        <f>E9*H9</f>
        <v>77000</v>
      </c>
    </row>
    <row r="10" spans="1:20" ht="26.25" x14ac:dyDescent="0.25">
      <c r="A10" s="8" t="s">
        <v>18</v>
      </c>
      <c r="B10" s="8" t="s">
        <v>19</v>
      </c>
      <c r="C10" s="8" t="s">
        <v>20</v>
      </c>
      <c r="D10" s="8" t="s">
        <v>21</v>
      </c>
      <c r="E10" s="9">
        <v>25</v>
      </c>
      <c r="F10" s="9">
        <v>125000</v>
      </c>
      <c r="G10" s="6" t="str">
        <f>VLOOKUP(sales_data!D5,product_data!$A$1:$D$6,2,FALSE)</f>
        <v>Laptop</v>
      </c>
      <c r="H10" s="6">
        <f>VLOOKUP(D10,product_data!$A$1:$D$6,4,FALSE)</f>
        <v>5000</v>
      </c>
      <c r="I10" s="6">
        <f>E10*H10</f>
        <v>125000</v>
      </c>
    </row>
    <row r="11" spans="1:20" ht="26.25" x14ac:dyDescent="0.25">
      <c r="A11" s="8" t="s">
        <v>29</v>
      </c>
      <c r="B11" s="8" t="s">
        <v>30</v>
      </c>
      <c r="C11" s="8" t="s">
        <v>20</v>
      </c>
      <c r="D11" s="8" t="s">
        <v>9</v>
      </c>
      <c r="E11" s="9">
        <v>30</v>
      </c>
      <c r="F11" s="9">
        <v>90000</v>
      </c>
      <c r="G11" s="6" t="str">
        <f>VLOOKUP(sales_data!D9,product_data!$A$1:$D$6,2,FALSE)</f>
        <v>Headphones</v>
      </c>
      <c r="H11" s="6">
        <f>VLOOKUP(D11,product_data!$A$1:$D$6,4,FALSE)</f>
        <v>3000</v>
      </c>
      <c r="I11" s="6">
        <f>E11*H11</f>
        <v>90000</v>
      </c>
    </row>
    <row r="12" spans="1:20" x14ac:dyDescent="0.25">
      <c r="A12" s="10" t="s">
        <v>49</v>
      </c>
      <c r="B12" s="6"/>
      <c r="C12" s="6"/>
      <c r="D12" s="6"/>
      <c r="E12" s="6">
        <f>SUM(E2:E11)</f>
        <v>174</v>
      </c>
      <c r="F12" s="6"/>
      <c r="G12" s="6"/>
      <c r="H12" s="6">
        <f>SUM(H2:H11)</f>
        <v>37000</v>
      </c>
      <c r="I12" s="6"/>
    </row>
    <row r="13" spans="1:20" ht="19.5" customHeight="1" x14ac:dyDescent="0.25">
      <c r="A13" s="11" t="s">
        <v>51</v>
      </c>
      <c r="B13">
        <f>SUM(I1:I11)</f>
        <v>636000</v>
      </c>
    </row>
  </sheetData>
  <sortState xmlns:xlrd2="http://schemas.microsoft.com/office/spreadsheetml/2017/richdata2" ref="A2:I12">
    <sortCondition ref="C1:C12"/>
  </sortState>
  <conditionalFormatting sqref="C1:C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M1 S2" xr:uid="{DF18344B-9885-4533-B35F-9AB594AC0B3B}">
      <formula1>$C$2:$C$11</formula1>
    </dataValidation>
    <dataValidation type="list" allowBlank="1" showInputMessage="1" showErrorMessage="1" sqref="K5" xr:uid="{A1D9940E-6013-4E1E-B21A-CE6CD79605BD}">
      <formula1>$A$2:$A$11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9948-2B92-4F3D-8907-37AD980F1861}">
  <dimension ref="A1:G6"/>
  <sheetViews>
    <sheetView workbookViewId="0">
      <selection activeCell="F2" sqref="F2"/>
    </sheetView>
  </sheetViews>
  <sheetFormatPr defaultRowHeight="15" x14ac:dyDescent="0.25"/>
  <sheetData>
    <row r="1" spans="1:7" ht="27" thickBot="1" x14ac:dyDescent="0.3">
      <c r="A1" s="1" t="s">
        <v>3</v>
      </c>
      <c r="B1" s="1" t="s">
        <v>35</v>
      </c>
      <c r="C1" s="1" t="s">
        <v>36</v>
      </c>
      <c r="D1" s="1" t="s">
        <v>37</v>
      </c>
      <c r="F1" s="4" t="s">
        <v>46</v>
      </c>
      <c r="G1" s="4" t="s">
        <v>47</v>
      </c>
    </row>
    <row r="2" spans="1:7" ht="27" thickBot="1" x14ac:dyDescent="0.3">
      <c r="A2" s="2" t="s">
        <v>9</v>
      </c>
      <c r="B2" s="2" t="s">
        <v>38</v>
      </c>
      <c r="C2" s="2" t="s">
        <v>39</v>
      </c>
      <c r="D2" s="3">
        <v>3000</v>
      </c>
      <c r="F2" t="str">
        <f>VLOOKUP(A2, $A$2:$D$6, 2, FALSE)</f>
        <v>Laptop</v>
      </c>
      <c r="G2">
        <f>VLOOKUP(A2,$A$1:$D$6,4,FALSE)</f>
        <v>3000</v>
      </c>
    </row>
    <row r="3" spans="1:7" ht="27" thickBot="1" x14ac:dyDescent="0.3">
      <c r="A3" s="2" t="s">
        <v>13</v>
      </c>
      <c r="B3" s="2" t="s">
        <v>40</v>
      </c>
      <c r="C3" s="2" t="s">
        <v>39</v>
      </c>
      <c r="D3" s="3">
        <v>3000</v>
      </c>
      <c r="F3" t="str">
        <f>VLOOKUP(A3, $A$2:$D$6, 2, FALSE)</f>
        <v>Smartphone</v>
      </c>
      <c r="G3">
        <f t="shared" ref="G3:G6" si="0">VLOOKUP(A3,$A$1:$D$6,4,FALSE)</f>
        <v>3000</v>
      </c>
    </row>
    <row r="4" spans="1:7" ht="27" thickBot="1" x14ac:dyDescent="0.3">
      <c r="A4" s="2" t="s">
        <v>17</v>
      </c>
      <c r="B4" s="2" t="s">
        <v>41</v>
      </c>
      <c r="C4" s="2" t="s">
        <v>42</v>
      </c>
      <c r="D4" s="3">
        <v>3500</v>
      </c>
      <c r="F4" t="str">
        <f>VLOOKUP(A4, $A$2:$D$6, 2, FALSE)</f>
        <v>Headphones</v>
      </c>
      <c r="G4">
        <f t="shared" si="0"/>
        <v>3500</v>
      </c>
    </row>
    <row r="5" spans="1:7" ht="27" thickBot="1" x14ac:dyDescent="0.3">
      <c r="A5" s="2" t="s">
        <v>21</v>
      </c>
      <c r="B5" s="2" t="s">
        <v>41</v>
      </c>
      <c r="C5" s="2" t="s">
        <v>43</v>
      </c>
      <c r="D5" s="3">
        <v>5000</v>
      </c>
      <c r="F5" t="str">
        <f>VLOOKUP(A5, $A$2:$D$6, 2, FALSE)</f>
        <v>Headphones</v>
      </c>
      <c r="G5">
        <f t="shared" si="0"/>
        <v>5000</v>
      </c>
    </row>
    <row r="6" spans="1:7" ht="27" thickBot="1" x14ac:dyDescent="0.3">
      <c r="A6" s="2" t="s">
        <v>24</v>
      </c>
      <c r="B6" s="2" t="s">
        <v>44</v>
      </c>
      <c r="C6" s="2" t="s">
        <v>39</v>
      </c>
      <c r="D6" s="3">
        <v>4000</v>
      </c>
      <c r="F6" t="str">
        <f>VLOOKUP(A6, $A$2:$D$6, 2, FALSE)</f>
        <v>Monitor</v>
      </c>
      <c r="G6">
        <f t="shared" si="0"/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A81D-D515-4B52-BB5B-70619F1A64D1}">
  <dimension ref="A1:E4"/>
  <sheetViews>
    <sheetView workbookViewId="0">
      <selection activeCell="D6" sqref="D6"/>
    </sheetView>
  </sheetViews>
  <sheetFormatPr defaultRowHeight="15" x14ac:dyDescent="0.25"/>
  <cols>
    <col min="1" max="1" width="11.140625" bestFit="1" customWidth="1"/>
  </cols>
  <sheetData>
    <row r="1" spans="1:5" x14ac:dyDescent="0.25">
      <c r="A1" s="7" t="s">
        <v>2</v>
      </c>
      <c r="B1" s="7" t="s">
        <v>8</v>
      </c>
      <c r="C1" s="7" t="s">
        <v>12</v>
      </c>
      <c r="D1" s="7" t="s">
        <v>16</v>
      </c>
      <c r="E1" s="7" t="s">
        <v>20</v>
      </c>
    </row>
    <row r="2" spans="1:5" ht="26.25" x14ac:dyDescent="0.25">
      <c r="A2" s="8" t="s">
        <v>45</v>
      </c>
      <c r="B2" s="9">
        <v>150000</v>
      </c>
      <c r="C2" s="9">
        <v>140000</v>
      </c>
      <c r="D2" s="9">
        <v>120000</v>
      </c>
      <c r="E2" s="9">
        <v>160000</v>
      </c>
    </row>
    <row r="3" spans="1:5" x14ac:dyDescent="0.25">
      <c r="A3" s="6" t="s">
        <v>52</v>
      </c>
      <c r="B3" s="6">
        <f>HLOOKUP(B1,sales_data!$M$1:$Q$2,2,FALSE)</f>
        <v>163000</v>
      </c>
      <c r="C3" s="6">
        <f>HLOOKUP(C1,sales_data!$M$1:$Q$2,2,FALSE)</f>
        <v>137000</v>
      </c>
      <c r="D3" s="6">
        <f>HLOOKUP(D1,sales_data!$M$1:$Q$2,2,FALSE)</f>
        <v>121000</v>
      </c>
      <c r="E3" s="6">
        <f>HLOOKUP(E1,sales_data!$M$1:$Q$2,2,FALSE)</f>
        <v>215000</v>
      </c>
    </row>
    <row r="4" spans="1:5" ht="18.75" customHeight="1" x14ac:dyDescent="0.25">
      <c r="A4" s="12" t="s">
        <v>57</v>
      </c>
      <c r="B4" s="12">
        <f>B3-B2</f>
        <v>13000</v>
      </c>
      <c r="C4" s="12">
        <f t="shared" ref="C4:F4" si="0">C3-C2</f>
        <v>-3000</v>
      </c>
      <c r="D4" s="12">
        <f t="shared" si="0"/>
        <v>1000</v>
      </c>
      <c r="E4" s="12">
        <f t="shared" si="0"/>
        <v>55000</v>
      </c>
    </row>
  </sheetData>
  <conditionalFormatting sqref="A4:E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{4103D99F-FD1E-4CC7-92E3-6F2EB3A4F066}</x14:id>
        </ext>
      </extLst>
    </cfRule>
    <cfRule type="expression" priority="1">
      <formula>"2A&lt;3A"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03D99F-FD1E-4CC7-92E3-6F2EB3A4F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product_data</vt:lpstr>
      <vt:lpstr>monthly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</dc:creator>
  <cp:lastModifiedBy>Jay Rai</cp:lastModifiedBy>
  <dcterms:created xsi:type="dcterms:W3CDTF">2025-11-01T06:12:21Z</dcterms:created>
  <dcterms:modified xsi:type="dcterms:W3CDTF">2025-11-01T09:24:47Z</dcterms:modified>
</cp:coreProperties>
</file>